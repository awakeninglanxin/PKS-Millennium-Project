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B995F225-6583-41F6-AB16-495DC3EA8048}" xr6:coauthVersionLast="47" xr6:coauthVersionMax="47" xr10:uidLastSave="{00000000-0000-0000-0000-000000000000}"/>
  <bookViews>
    <workbookView xWindow="-120" yWindow="-120" windowWidth="29040" windowHeight="15840" xr2:uid="{1D408BDC-3B46-4C89-B7C7-F23EADC4F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13" i="1"/>
  <c r="F14" i="1"/>
  <c r="D75" i="1"/>
  <c r="G75" i="1" s="1"/>
  <c r="F71" i="1"/>
  <c r="D78" i="1" s="1"/>
  <c r="F60" i="1"/>
  <c r="F61" i="1"/>
  <c r="F16" i="1"/>
  <c r="F15" i="1"/>
  <c r="F65" i="1"/>
  <c r="F64" i="1"/>
  <c r="F63" i="1"/>
  <c r="F62" i="1"/>
  <c r="D87" i="1"/>
  <c r="D99" i="1" s="1"/>
  <c r="D111" i="1" s="1"/>
  <c r="F79" i="1"/>
  <c r="G95" i="1" s="1"/>
  <c r="F101" i="1" s="1"/>
  <c r="D51" i="1"/>
  <c r="D41" i="1"/>
  <c r="D42" i="1"/>
  <c r="D43" i="1"/>
  <c r="D44" i="1"/>
  <c r="D32" i="1"/>
  <c r="D33" i="1"/>
  <c r="D35" i="1"/>
  <c r="D34" i="1"/>
  <c r="D50" i="1"/>
  <c r="D52" i="1"/>
  <c r="D53" i="1"/>
  <c r="G22" i="1"/>
  <c r="G23" i="1"/>
  <c r="G24" i="1"/>
  <c r="G25" i="1"/>
  <c r="F26" i="1"/>
  <c r="E23" i="1" s="1"/>
  <c r="M10" i="1" l="1"/>
  <c r="M2" i="1"/>
  <c r="N7" i="1" s="1"/>
  <c r="G6" i="1"/>
  <c r="G7" i="1"/>
  <c r="D64" i="1"/>
  <c r="G64" i="1" s="1"/>
  <c r="D90" i="1"/>
  <c r="D102" i="1" s="1"/>
  <c r="D114" i="1" s="1"/>
  <c r="G78" i="1"/>
  <c r="D63" i="1"/>
  <c r="G63" i="1" s="1"/>
  <c r="D60" i="1"/>
  <c r="D76" i="1"/>
  <c r="G76" i="1" s="1"/>
  <c r="F58" i="1"/>
  <c r="D73" i="1"/>
  <c r="D77" i="1"/>
  <c r="D89" i="1" s="1"/>
  <c r="D101" i="1" s="1"/>
  <c r="D113" i="1" s="1"/>
  <c r="D74" i="1"/>
  <c r="D88" i="1"/>
  <c r="D100" i="1" s="1"/>
  <c r="D112" i="1" s="1"/>
  <c r="F11" i="1"/>
  <c r="D16" i="1" s="1"/>
  <c r="G16" i="1" s="1"/>
  <c r="G4" i="1"/>
  <c r="G5" i="1"/>
  <c r="D45" i="1"/>
  <c r="F98" i="1"/>
  <c r="G83" i="1"/>
  <c r="F89" i="1" s="1"/>
  <c r="F99" i="1"/>
  <c r="F100" i="1"/>
  <c r="D54" i="1"/>
  <c r="D36" i="1"/>
  <c r="F102" i="1"/>
  <c r="F17" i="1"/>
  <c r="E16" i="1" s="1"/>
  <c r="G30" i="1"/>
  <c r="F32" i="1" s="1"/>
  <c r="G32" i="1" s="1"/>
  <c r="F97" i="1"/>
  <c r="F66" i="1"/>
  <c r="E61" i="1" s="1"/>
  <c r="G60" i="1"/>
  <c r="G39" i="1"/>
  <c r="G48" i="1"/>
  <c r="G107" i="1"/>
  <c r="E76" i="1"/>
  <c r="E74" i="1"/>
  <c r="E77" i="1"/>
  <c r="E75" i="1"/>
  <c r="E73" i="1"/>
  <c r="E78" i="1"/>
  <c r="G26" i="1"/>
  <c r="G27" i="1" s="1"/>
  <c r="E24" i="1"/>
  <c r="E22" i="1"/>
  <c r="E25" i="1"/>
  <c r="N6" i="1" l="1"/>
  <c r="L9" i="1"/>
  <c r="L8" i="1"/>
  <c r="L7" i="1"/>
  <c r="L6" i="1"/>
  <c r="L5" i="1"/>
  <c r="L4" i="1"/>
  <c r="N8" i="1"/>
  <c r="N9" i="1"/>
  <c r="N5" i="1"/>
  <c r="G8" i="1"/>
  <c r="G89" i="1"/>
  <c r="G77" i="1"/>
  <c r="G79" i="1" s="1"/>
  <c r="G80" i="1" s="1"/>
  <c r="D85" i="1"/>
  <c r="G73" i="1"/>
  <c r="G74" i="1"/>
  <c r="D86" i="1"/>
  <c r="D98" i="1" s="1"/>
  <c r="D110" i="1" s="1"/>
  <c r="D62" i="1"/>
  <c r="G62" i="1" s="1"/>
  <c r="G66" i="1" s="1"/>
  <c r="G67" i="1" s="1"/>
  <c r="D65" i="1"/>
  <c r="G65" i="1" s="1"/>
  <c r="D61" i="1"/>
  <c r="G61" i="1" s="1"/>
  <c r="D79" i="1"/>
  <c r="D15" i="1"/>
  <c r="G15" i="1" s="1"/>
  <c r="D14" i="1"/>
  <c r="G14" i="1" s="1"/>
  <c r="E4" i="1"/>
  <c r="D13" i="1"/>
  <c r="G13" i="1" s="1"/>
  <c r="F90" i="1"/>
  <c r="E13" i="1"/>
  <c r="I62" i="1"/>
  <c r="J62" i="1" s="1"/>
  <c r="I65" i="1"/>
  <c r="I61" i="1"/>
  <c r="I64" i="1"/>
  <c r="J64" i="1" s="1"/>
  <c r="I60" i="1"/>
  <c r="I63" i="1"/>
  <c r="J63" i="1" s="1"/>
  <c r="G102" i="1"/>
  <c r="E62" i="1"/>
  <c r="E14" i="1"/>
  <c r="E15" i="1"/>
  <c r="G90" i="1"/>
  <c r="F111" i="1"/>
  <c r="F113" i="1"/>
  <c r="F114" i="1"/>
  <c r="F110" i="1"/>
  <c r="F109" i="1"/>
  <c r="F112" i="1"/>
  <c r="E65" i="1"/>
  <c r="E64" i="1"/>
  <c r="E60" i="1"/>
  <c r="E63" i="1"/>
  <c r="J61" i="1"/>
  <c r="F50" i="1"/>
  <c r="F51" i="1"/>
  <c r="F53" i="1"/>
  <c r="F52" i="1"/>
  <c r="F41" i="1"/>
  <c r="G41" i="1" s="1"/>
  <c r="F42" i="1"/>
  <c r="F44" i="1"/>
  <c r="F43" i="1"/>
  <c r="F85" i="1"/>
  <c r="F87" i="1"/>
  <c r="G99" i="1" s="1"/>
  <c r="F86" i="1"/>
  <c r="F88" i="1"/>
  <c r="G100" i="1" s="1"/>
  <c r="G101" i="1"/>
  <c r="G98" i="1"/>
  <c r="E79" i="1"/>
  <c r="F33" i="1"/>
  <c r="F35" i="1"/>
  <c r="G35" i="1" s="1"/>
  <c r="F34" i="1"/>
  <c r="G34" i="1" s="1"/>
  <c r="E26" i="1"/>
  <c r="E7" i="1" l="1"/>
  <c r="L10" i="1"/>
  <c r="N10" i="1"/>
  <c r="N11" i="1" s="1"/>
  <c r="K10" i="1"/>
  <c r="N4" i="1"/>
  <c r="G9" i="1"/>
  <c r="D97" i="1"/>
  <c r="D91" i="1"/>
  <c r="E6" i="1"/>
  <c r="G17" i="1"/>
  <c r="G18" i="1" s="1"/>
  <c r="G86" i="1"/>
  <c r="J65" i="1"/>
  <c r="E5" i="1"/>
  <c r="D66" i="1"/>
  <c r="I66" i="1"/>
  <c r="E66" i="1"/>
  <c r="J60" i="1"/>
  <c r="E17" i="1"/>
  <c r="G87" i="1"/>
  <c r="F91" i="1"/>
  <c r="G88" i="1"/>
  <c r="G85" i="1"/>
  <c r="G50" i="1"/>
  <c r="G112" i="1"/>
  <c r="G114" i="1"/>
  <c r="G113" i="1"/>
  <c r="G110" i="1"/>
  <c r="G111" i="1"/>
  <c r="G103" i="1"/>
  <c r="G44" i="1"/>
  <c r="F36" i="1"/>
  <c r="G33" i="1"/>
  <c r="G36" i="1" s="1"/>
  <c r="E8" i="1" l="1"/>
  <c r="D109" i="1"/>
  <c r="D115" i="1" s="1"/>
  <c r="D103" i="1"/>
  <c r="J66" i="1"/>
  <c r="J67" i="1" s="1"/>
  <c r="I89" i="1"/>
  <c r="I86" i="1"/>
  <c r="J86" i="1" s="1"/>
  <c r="I85" i="1"/>
  <c r="I91" i="1" s="1"/>
  <c r="I87" i="1"/>
  <c r="I88" i="1"/>
  <c r="I90" i="1"/>
  <c r="J90" i="1" s="1"/>
  <c r="E89" i="1"/>
  <c r="E85" i="1"/>
  <c r="E88" i="1"/>
  <c r="E87" i="1"/>
  <c r="J89" i="1"/>
  <c r="G91" i="1"/>
  <c r="G92" i="1" s="1"/>
  <c r="J87" i="1"/>
  <c r="J88" i="1"/>
  <c r="J85" i="1"/>
  <c r="I33" i="1"/>
  <c r="I32" i="1"/>
  <c r="J32" i="1" s="1"/>
  <c r="E34" i="1"/>
  <c r="I34" i="1"/>
  <c r="J34" i="1" s="1"/>
  <c r="J33" i="1"/>
  <c r="I35" i="1"/>
  <c r="E86" i="1"/>
  <c r="E90" i="1"/>
  <c r="G97" i="1"/>
  <c r="F103" i="1"/>
  <c r="F115" i="1"/>
  <c r="G115" i="1"/>
  <c r="F45" i="1"/>
  <c r="G53" i="1"/>
  <c r="G52" i="1"/>
  <c r="G43" i="1"/>
  <c r="G37" i="1"/>
  <c r="E35" i="1"/>
  <c r="E32" i="1"/>
  <c r="E33" i="1"/>
  <c r="G42" i="1"/>
  <c r="G51" i="1"/>
  <c r="G104" i="1" l="1"/>
  <c r="I101" i="1"/>
  <c r="J101" i="1" s="1"/>
  <c r="I97" i="1"/>
  <c r="I100" i="1"/>
  <c r="J100" i="1" s="1"/>
  <c r="I102" i="1"/>
  <c r="J102" i="1" s="1"/>
  <c r="I98" i="1"/>
  <c r="J98" i="1" s="1"/>
  <c r="I99" i="1"/>
  <c r="J99" i="1" s="1"/>
  <c r="I114" i="1"/>
  <c r="J114" i="1" s="1"/>
  <c r="I110" i="1"/>
  <c r="J110" i="1" s="1"/>
  <c r="I111" i="1"/>
  <c r="J111" i="1" s="1"/>
  <c r="I113" i="1"/>
  <c r="J113" i="1" s="1"/>
  <c r="I109" i="1"/>
  <c r="I112" i="1"/>
  <c r="J112" i="1" s="1"/>
  <c r="E91" i="1"/>
  <c r="J91" i="1"/>
  <c r="I44" i="1"/>
  <c r="J44" i="1" s="1"/>
  <c r="I43" i="1"/>
  <c r="I41" i="1"/>
  <c r="I42" i="1"/>
  <c r="J42" i="1" s="1"/>
  <c r="I36" i="1"/>
  <c r="J35" i="1"/>
  <c r="J36" i="1" s="1"/>
  <c r="G109" i="1"/>
  <c r="E113" i="1"/>
  <c r="E42" i="1"/>
  <c r="J43" i="1"/>
  <c r="E43" i="1"/>
  <c r="E44" i="1"/>
  <c r="E99" i="1"/>
  <c r="E98" i="1"/>
  <c r="E101" i="1"/>
  <c r="E100" i="1"/>
  <c r="E102" i="1"/>
  <c r="E97" i="1"/>
  <c r="E41" i="1"/>
  <c r="G45" i="1"/>
  <c r="G46" i="1" s="1"/>
  <c r="E112" i="1"/>
  <c r="E111" i="1"/>
  <c r="E110" i="1"/>
  <c r="G116" i="1"/>
  <c r="E114" i="1"/>
  <c r="E109" i="1"/>
  <c r="F54" i="1"/>
  <c r="G54" i="1"/>
  <c r="E36" i="1"/>
  <c r="I103" i="1" l="1"/>
  <c r="J97" i="1"/>
  <c r="J103" i="1" s="1"/>
  <c r="J109" i="1"/>
  <c r="J115" i="1" s="1"/>
  <c r="I115" i="1"/>
  <c r="I53" i="1"/>
  <c r="J53" i="1" s="1"/>
  <c r="I51" i="1"/>
  <c r="J51" i="1" s="1"/>
  <c r="I50" i="1"/>
  <c r="I52" i="1"/>
  <c r="J52" i="1" s="1"/>
  <c r="J37" i="1"/>
  <c r="J92" i="1"/>
  <c r="E45" i="1"/>
  <c r="J41" i="1"/>
  <c r="J45" i="1" s="1"/>
  <c r="I45" i="1"/>
  <c r="E103" i="1"/>
  <c r="E115" i="1"/>
  <c r="E52" i="1"/>
  <c r="E50" i="1"/>
  <c r="G55" i="1"/>
  <c r="E51" i="1"/>
  <c r="E53" i="1"/>
  <c r="J116" i="1" l="1"/>
  <c r="J104" i="1"/>
  <c r="I54" i="1"/>
  <c r="J46" i="1"/>
  <c r="J50" i="1"/>
  <c r="J54" i="1" s="1"/>
  <c r="E54" i="1"/>
  <c r="J55" i="1" l="1"/>
</calcChain>
</file>

<file path=xl/sharedStrings.xml><?xml version="1.0" encoding="utf-8"?>
<sst xmlns="http://schemas.openxmlformats.org/spreadsheetml/2006/main" count="287" uniqueCount="46">
  <si>
    <t>Reservoir 集电层</t>
    <phoneticPr fontId="2" type="noConversion"/>
  </si>
  <si>
    <t>Neodymium 钕</t>
    <phoneticPr fontId="2" type="noConversion"/>
  </si>
  <si>
    <t>Gate 阀层</t>
    <phoneticPr fontId="2" type="noConversion"/>
  </si>
  <si>
    <t>Teflon 特氟龙</t>
    <phoneticPr fontId="2" type="noConversion"/>
  </si>
  <si>
    <t>Magnetic 磁性层</t>
    <phoneticPr fontId="2" type="noConversion"/>
  </si>
  <si>
    <t>Bond Alnico</t>
  </si>
  <si>
    <t>Emitter 发射层</t>
    <phoneticPr fontId="2" type="noConversion"/>
  </si>
  <si>
    <t xml:space="preserve">Copper </t>
  </si>
  <si>
    <t>平均密度：</t>
    <phoneticPr fontId="1" type="noConversion"/>
  </si>
  <si>
    <t>滚筒平均密度：</t>
    <phoneticPr fontId="1" type="noConversion"/>
  </si>
  <si>
    <t>定子计算法：已知质量</t>
    <phoneticPr fontId="1" type="noConversion"/>
  </si>
  <si>
    <t>=30+4*m，求出m=</t>
    <phoneticPr fontId="1" type="noConversion"/>
  </si>
  <si>
    <t>定子平均密度：</t>
    <phoneticPr fontId="1" type="noConversion"/>
  </si>
  <si>
    <t>举例：3环定子组合：（4阶seg）</t>
    <phoneticPr fontId="1" type="noConversion"/>
  </si>
  <si>
    <t>铅汞齐复合</t>
    <phoneticPr fontId="1" type="noConversion"/>
  </si>
  <si>
    <t>铝复合</t>
    <phoneticPr fontId="1" type="noConversion"/>
  </si>
  <si>
    <t>6阶滚筒DNA模板：(不可动)</t>
    <phoneticPr fontId="1" type="noConversion"/>
  </si>
  <si>
    <t>4阶滚筒DNA模板：(不可动)</t>
    <phoneticPr fontId="1" type="noConversion"/>
  </si>
  <si>
    <t>举例：3环定子组合：（6阶igv）</t>
    <phoneticPr fontId="1" type="noConversion"/>
  </si>
  <si>
    <t>=105+6*m，求出m=</t>
    <phoneticPr fontId="1" type="noConversion"/>
  </si>
  <si>
    <t>内</t>
    <phoneticPr fontId="1" type="noConversion"/>
  </si>
  <si>
    <t>中</t>
    <phoneticPr fontId="1" type="noConversion"/>
  </si>
  <si>
    <t>外</t>
    <phoneticPr fontId="1" type="noConversion"/>
  </si>
  <si>
    <t>6阶滚筒：</t>
    <phoneticPr fontId="1" type="noConversion"/>
  </si>
  <si>
    <t>算法2：</t>
    <phoneticPr fontId="1" type="noConversion"/>
  </si>
  <si>
    <t>质量</t>
    <phoneticPr fontId="1" type="noConversion"/>
  </si>
  <si>
    <t>各层体积</t>
    <phoneticPr fontId="1" type="noConversion"/>
  </si>
  <si>
    <t>内定子平均密度：</t>
    <phoneticPr fontId="1" type="noConversion"/>
  </si>
  <si>
    <t>level为</t>
    <phoneticPr fontId="1" type="noConversion"/>
  </si>
  <si>
    <t>4阶滚筒level为</t>
    <phoneticPr fontId="1" type="noConversion"/>
  </si>
  <si>
    <t>各层体积</t>
  </si>
  <si>
    <t>质量(单位g)</t>
  </si>
  <si>
    <t>质量占比%</t>
  </si>
  <si>
    <t>材料密度ρ</t>
  </si>
  <si>
    <t>材料名称</t>
  </si>
  <si>
    <t>材料名称</t>
    <phoneticPr fontId="1" type="noConversion"/>
  </si>
  <si>
    <t>材料功能</t>
  </si>
  <si>
    <t>材料功能</t>
    <phoneticPr fontId="1" type="noConversion"/>
  </si>
  <si>
    <t>最小质量值为</t>
    <phoneticPr fontId="1" type="noConversion"/>
  </si>
  <si>
    <t>点评：此法体积等同</t>
    <phoneticPr fontId="1" type="noConversion"/>
  </si>
  <si>
    <t>点评：此法体积不同</t>
  </si>
  <si>
    <t>点评：此法体积不同</t>
    <phoneticPr fontId="1" type="noConversion"/>
  </si>
  <si>
    <t>------------------------------------------------------------------------------------------------------------------------------------------------------------------------------------------------------------</t>
    <phoneticPr fontId="1" type="noConversion"/>
  </si>
  <si>
    <t>core内核层</t>
    <phoneticPr fontId="1" type="noConversion"/>
  </si>
  <si>
    <t>shell外核层</t>
    <phoneticPr fontId="1" type="noConversion"/>
  </si>
  <si>
    <t>备注：红色字是可以修改的，其余黑色字体随之变动，建议选择点评为红色的算法作为searl机的质量配比，因为体积等同时，材料抗相变能力强，寿命更长。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</si>
</sst>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16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0" fontId="0" fillId="0" borderId="7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4CFA-5181-4A8B-ACBB-FD2EDA4EECF1}">
  <dimension ref="A2:R122"/>
  <sheetViews>
    <sheetView tabSelected="1" workbookViewId="0">
      <selection activeCell="A120" sqref="A120:I122"/>
    </sheetView>
  </sheetViews>
  <sheetFormatPr defaultRowHeight="14.25" x14ac:dyDescent="0.2"/>
  <cols>
    <col min="1" max="1" width="17.125" customWidth="1"/>
    <col min="2" max="2" width="16.375" customWidth="1"/>
    <col min="3" max="3" width="12.875" customWidth="1"/>
    <col min="4" max="4" width="9.375" bestFit="1" customWidth="1"/>
    <col min="5" max="5" width="14.5" customWidth="1"/>
    <col min="6" max="6" width="31.625" customWidth="1"/>
    <col min="8" max="8" width="13.875" customWidth="1"/>
    <col min="9" max="9" width="14.875" customWidth="1"/>
    <col min="11" max="11" width="15.375" customWidth="1"/>
    <col min="12" max="12" width="14.625" customWidth="1"/>
    <col min="13" max="13" width="13.75" customWidth="1"/>
  </cols>
  <sheetData>
    <row r="2" spans="2:14" ht="15" thickBot="1" x14ac:dyDescent="0.25">
      <c r="B2" t="s">
        <v>29</v>
      </c>
      <c r="C2" s="18">
        <v>2</v>
      </c>
      <c r="I2" s="11" t="s">
        <v>23</v>
      </c>
      <c r="J2" t="s">
        <v>28</v>
      </c>
      <c r="K2" s="19">
        <v>2</v>
      </c>
      <c r="L2" t="s">
        <v>38</v>
      </c>
      <c r="M2">
        <f>MIN(M4:M9)</f>
        <v>6</v>
      </c>
    </row>
    <row r="3" spans="2:14" x14ac:dyDescent="0.2">
      <c r="B3" s="1" t="s">
        <v>37</v>
      </c>
      <c r="C3" s="2" t="s">
        <v>35</v>
      </c>
      <c r="D3" s="2" t="s">
        <v>33</v>
      </c>
      <c r="E3" s="2" t="s">
        <v>32</v>
      </c>
      <c r="F3" s="2" t="s">
        <v>31</v>
      </c>
      <c r="G3" s="3" t="s">
        <v>30</v>
      </c>
      <c r="I3" s="1" t="s">
        <v>37</v>
      </c>
      <c r="J3" s="2" t="s">
        <v>34</v>
      </c>
      <c r="K3" s="2" t="s">
        <v>33</v>
      </c>
      <c r="L3" s="2" t="s">
        <v>32</v>
      </c>
      <c r="M3" s="2" t="s">
        <v>31</v>
      </c>
      <c r="N3" s="3" t="s">
        <v>30</v>
      </c>
    </row>
    <row r="4" spans="2:14" x14ac:dyDescent="0.2">
      <c r="B4" s="4" t="s">
        <v>0</v>
      </c>
      <c r="C4" s="5" t="s">
        <v>1</v>
      </c>
      <c r="D4" s="25">
        <v>7.016</v>
      </c>
      <c r="E4" s="6">
        <f>F4/F8</f>
        <v>0.38235294117647056</v>
      </c>
      <c r="F4" s="25">
        <v>13</v>
      </c>
      <c r="G4" s="7">
        <f>F4/D4</f>
        <v>1.8529076396807298</v>
      </c>
      <c r="I4" s="13" t="s">
        <v>43</v>
      </c>
      <c r="J4" t="s">
        <v>14</v>
      </c>
      <c r="K4" s="25">
        <v>11.01</v>
      </c>
      <c r="L4" s="6">
        <f>M4/M10</f>
        <v>0.27927927927927926</v>
      </c>
      <c r="M4" s="25">
        <v>31</v>
      </c>
      <c r="N4" s="7">
        <f t="shared" ref="N4:N9" si="0">M4/K4</f>
        <v>2.8156221616712083</v>
      </c>
    </row>
    <row r="5" spans="2:14" x14ac:dyDescent="0.2">
      <c r="B5" s="4" t="s">
        <v>2</v>
      </c>
      <c r="C5" s="5" t="s">
        <v>3</v>
      </c>
      <c r="D5" s="25">
        <v>2.1922999999999999</v>
      </c>
      <c r="E5" s="6">
        <f>F5/F8</f>
        <v>0.11764705882352941</v>
      </c>
      <c r="F5" s="25">
        <v>4</v>
      </c>
      <c r="G5" s="7">
        <f>F5/D5</f>
        <v>1.8245678055010719</v>
      </c>
      <c r="I5" s="4" t="s">
        <v>0</v>
      </c>
      <c r="J5" s="5" t="s">
        <v>1</v>
      </c>
      <c r="K5" s="25">
        <v>7.016</v>
      </c>
      <c r="L5" s="6">
        <f>M5/M10</f>
        <v>5.4054054054054057E-2</v>
      </c>
      <c r="M5" s="25">
        <v>6</v>
      </c>
      <c r="N5" s="7">
        <f t="shared" si="0"/>
        <v>0.85518814139110599</v>
      </c>
    </row>
    <row r="6" spans="2:14" x14ac:dyDescent="0.2">
      <c r="B6" s="4" t="s">
        <v>4</v>
      </c>
      <c r="C6" s="5" t="s">
        <v>5</v>
      </c>
      <c r="D6" s="25">
        <v>5.3</v>
      </c>
      <c r="E6" s="6">
        <f>F6/F8</f>
        <v>0.29411764705882354</v>
      </c>
      <c r="F6" s="25">
        <v>10</v>
      </c>
      <c r="G6" s="7">
        <f>F6/D6</f>
        <v>1.8867924528301887</v>
      </c>
      <c r="I6" s="4" t="s">
        <v>2</v>
      </c>
      <c r="J6" s="5" t="s">
        <v>3</v>
      </c>
      <c r="K6" s="25">
        <v>2.1922999999999999</v>
      </c>
      <c r="L6" s="6">
        <f>M6/M10</f>
        <v>0.23423423423423423</v>
      </c>
      <c r="M6" s="25">
        <v>26</v>
      </c>
      <c r="N6" s="7">
        <f t="shared" si="0"/>
        <v>11.859690735756969</v>
      </c>
    </row>
    <row r="7" spans="2:14" x14ac:dyDescent="0.2">
      <c r="B7" s="4" t="s">
        <v>6</v>
      </c>
      <c r="C7" s="5" t="s">
        <v>7</v>
      </c>
      <c r="D7" s="25">
        <v>8.94</v>
      </c>
      <c r="E7" s="6">
        <f>F7/F8</f>
        <v>0.20588235294117646</v>
      </c>
      <c r="F7" s="25">
        <v>7</v>
      </c>
      <c r="G7" s="7">
        <f>F7/D7</f>
        <v>0.78299776286353473</v>
      </c>
      <c r="I7" s="4" t="s">
        <v>4</v>
      </c>
      <c r="J7" s="5" t="s">
        <v>5</v>
      </c>
      <c r="K7" s="25">
        <v>5.3</v>
      </c>
      <c r="L7" s="6">
        <f>M7/M10</f>
        <v>9.90990990990991E-2</v>
      </c>
      <c r="M7" s="25">
        <v>11</v>
      </c>
      <c r="N7" s="7">
        <f t="shared" si="0"/>
        <v>2.0754716981132075</v>
      </c>
    </row>
    <row r="8" spans="2:14" ht="15" thickBot="1" x14ac:dyDescent="0.25">
      <c r="B8" s="8"/>
      <c r="C8" s="9"/>
      <c r="D8" s="9"/>
      <c r="E8" s="10">
        <f>SUM(E4:E7)</f>
        <v>1</v>
      </c>
      <c r="F8" s="11">
        <f>SUM(F4:F7)</f>
        <v>34</v>
      </c>
      <c r="G8" s="12">
        <f>SUM(G4:G7)</f>
        <v>6.347265660875526</v>
      </c>
      <c r="I8" s="4" t="s">
        <v>6</v>
      </c>
      <c r="J8" s="5" t="s">
        <v>7</v>
      </c>
      <c r="K8" s="25">
        <v>8.94</v>
      </c>
      <c r="L8" s="6">
        <f>M8/M10</f>
        <v>0.1891891891891892</v>
      </c>
      <c r="M8" s="25">
        <v>21</v>
      </c>
      <c r="N8" s="7">
        <f t="shared" si="0"/>
        <v>2.348993288590604</v>
      </c>
    </row>
    <row r="9" spans="2:14" x14ac:dyDescent="0.2">
      <c r="F9" t="s">
        <v>8</v>
      </c>
      <c r="G9" s="7">
        <f>F8/G8</f>
        <v>5.3566373012517214</v>
      </c>
      <c r="I9" s="4" t="s">
        <v>44</v>
      </c>
      <c r="J9" s="5" t="s">
        <v>15</v>
      </c>
      <c r="K9" s="25">
        <v>3.2</v>
      </c>
      <c r="L9" s="6">
        <f>M9/M10</f>
        <v>0.14414414414414414</v>
      </c>
      <c r="M9" s="25">
        <v>16</v>
      </c>
      <c r="N9" s="7">
        <f t="shared" si="0"/>
        <v>5</v>
      </c>
    </row>
    <row r="10" spans="2:14" ht="15" thickBot="1" x14ac:dyDescent="0.25">
      <c r="F10" t="s">
        <v>41</v>
      </c>
      <c r="I10" s="8"/>
      <c r="J10" s="9"/>
      <c r="K10" s="9">
        <f>SUM(K4:K9)</f>
        <v>37.658300000000004</v>
      </c>
      <c r="L10" s="10">
        <f>SUM(L4:L9)</f>
        <v>0.99999999999999989</v>
      </c>
      <c r="M10" s="11">
        <f>SUM(M4:M9)</f>
        <v>111</v>
      </c>
      <c r="N10" s="12">
        <f>SUM(N5:N8)</f>
        <v>17.139343863851884</v>
      </c>
    </row>
    <row r="11" spans="2:14" ht="15" thickBot="1" x14ac:dyDescent="0.25">
      <c r="B11" t="s">
        <v>29</v>
      </c>
      <c r="C11" s="18">
        <v>2</v>
      </c>
      <c r="E11" t="s">
        <v>38</v>
      </c>
      <c r="F11">
        <f>MIN(F13:F16)</f>
        <v>4</v>
      </c>
      <c r="K11" s="25"/>
      <c r="M11" t="s">
        <v>8</v>
      </c>
      <c r="N11" s="7">
        <f>M10/N10</f>
        <v>6.4763272667693554</v>
      </c>
    </row>
    <row r="12" spans="2:14" x14ac:dyDescent="0.2">
      <c r="B12" s="1" t="s">
        <v>37</v>
      </c>
      <c r="C12" s="2" t="s">
        <v>35</v>
      </c>
      <c r="D12" s="2" t="s">
        <v>33</v>
      </c>
      <c r="E12" s="2" t="s">
        <v>32</v>
      </c>
      <c r="F12" s="2" t="s">
        <v>31</v>
      </c>
      <c r="G12" s="3" t="s">
        <v>30</v>
      </c>
      <c r="K12" s="25"/>
      <c r="M12" s="26" t="s">
        <v>41</v>
      </c>
      <c r="N12" s="21"/>
    </row>
    <row r="13" spans="2:14" x14ac:dyDescent="0.2">
      <c r="B13" s="4" t="s">
        <v>0</v>
      </c>
      <c r="C13" s="5" t="s">
        <v>1</v>
      </c>
      <c r="D13" s="20">
        <f>F13/F11</f>
        <v>3.25</v>
      </c>
      <c r="E13" s="6">
        <f>F13/F17</f>
        <v>0.38235294117647056</v>
      </c>
      <c r="F13" s="5">
        <f>F22+C11-1</f>
        <v>13</v>
      </c>
      <c r="G13" s="7">
        <f>F13/D13</f>
        <v>4</v>
      </c>
    </row>
    <row r="14" spans="2:14" x14ac:dyDescent="0.2">
      <c r="B14" s="4" t="s">
        <v>2</v>
      </c>
      <c r="C14" s="5" t="s">
        <v>3</v>
      </c>
      <c r="D14" s="20">
        <f>F14/F11</f>
        <v>1</v>
      </c>
      <c r="E14" s="6">
        <f>F14/F17</f>
        <v>0.11764705882352941</v>
      </c>
      <c r="F14" s="5">
        <f>F23+C11-1</f>
        <v>4</v>
      </c>
      <c r="G14" s="7">
        <f>F14/D14</f>
        <v>4</v>
      </c>
    </row>
    <row r="15" spans="2:14" x14ac:dyDescent="0.2">
      <c r="B15" s="4" t="s">
        <v>4</v>
      </c>
      <c r="C15" s="5" t="s">
        <v>5</v>
      </c>
      <c r="D15" s="20">
        <f>F15/F11</f>
        <v>2.5</v>
      </c>
      <c r="E15" s="6">
        <f>F15/F17</f>
        <v>0.29411764705882354</v>
      </c>
      <c r="F15" s="5">
        <f>F24+C11-1</f>
        <v>10</v>
      </c>
      <c r="G15" s="7">
        <f>F15/D15</f>
        <v>4</v>
      </c>
    </row>
    <row r="16" spans="2:14" x14ac:dyDescent="0.2">
      <c r="B16" s="4" t="s">
        <v>6</v>
      </c>
      <c r="C16" s="5" t="s">
        <v>7</v>
      </c>
      <c r="D16" s="20">
        <f>F16/F11</f>
        <v>1.75</v>
      </c>
      <c r="E16" s="6">
        <f>F16/F17</f>
        <v>0.20588235294117646</v>
      </c>
      <c r="F16" s="5">
        <f>F25+C11-1</f>
        <v>7</v>
      </c>
      <c r="G16" s="7">
        <f>F16/D16</f>
        <v>4</v>
      </c>
    </row>
    <row r="17" spans="2:10" ht="15" thickBot="1" x14ac:dyDescent="0.25">
      <c r="B17" s="8"/>
      <c r="C17" s="9"/>
      <c r="D17" s="9"/>
      <c r="E17" s="10">
        <f>SUM(E13:E16)</f>
        <v>1</v>
      </c>
      <c r="F17" s="11">
        <f>SUM(F13:F16)</f>
        <v>34</v>
      </c>
      <c r="G17" s="12">
        <f>SUM(G13:G16)</f>
        <v>16</v>
      </c>
    </row>
    <row r="18" spans="2:10" x14ac:dyDescent="0.2">
      <c r="F18" t="s">
        <v>8</v>
      </c>
      <c r="G18" s="7">
        <f>F17/G17</f>
        <v>2.125</v>
      </c>
    </row>
    <row r="19" spans="2:10" x14ac:dyDescent="0.2">
      <c r="F19" s="23" t="s">
        <v>39</v>
      </c>
    </row>
    <row r="20" spans="2:10" ht="15" thickBot="1" x14ac:dyDescent="0.25">
      <c r="B20" s="11" t="s">
        <v>17</v>
      </c>
      <c r="C20" s="11"/>
    </row>
    <row r="21" spans="2:10" x14ac:dyDescent="0.2">
      <c r="B21" s="1" t="s">
        <v>37</v>
      </c>
      <c r="C21" s="2" t="s">
        <v>34</v>
      </c>
      <c r="D21" s="2" t="s">
        <v>33</v>
      </c>
      <c r="E21" s="2" t="s">
        <v>32</v>
      </c>
      <c r="F21" s="2" t="s">
        <v>31</v>
      </c>
      <c r="G21" s="3" t="s">
        <v>30</v>
      </c>
    </row>
    <row r="22" spans="2:10" x14ac:dyDescent="0.2">
      <c r="B22" s="4" t="s">
        <v>0</v>
      </c>
      <c r="C22" s="5" t="s">
        <v>1</v>
      </c>
      <c r="D22" s="25">
        <v>4</v>
      </c>
      <c r="E22" s="6">
        <f>F22/F26</f>
        <v>0.4</v>
      </c>
      <c r="F22" s="5">
        <v>12</v>
      </c>
      <c r="G22" s="7">
        <f>F22/D22</f>
        <v>3</v>
      </c>
    </row>
    <row r="23" spans="2:10" x14ac:dyDescent="0.2">
      <c r="B23" s="4" t="s">
        <v>2</v>
      </c>
      <c r="C23" s="5" t="s">
        <v>3</v>
      </c>
      <c r="D23" s="25">
        <v>1</v>
      </c>
      <c r="E23" s="6">
        <f>F23/F26</f>
        <v>0.1</v>
      </c>
      <c r="F23" s="5">
        <v>3</v>
      </c>
      <c r="G23" s="7">
        <f>F23/D23</f>
        <v>3</v>
      </c>
    </row>
    <row r="24" spans="2:10" x14ac:dyDescent="0.2">
      <c r="B24" s="4" t="s">
        <v>4</v>
      </c>
      <c r="C24" s="5" t="s">
        <v>5</v>
      </c>
      <c r="D24" s="25">
        <v>3</v>
      </c>
      <c r="E24" s="6">
        <f>F24/F26</f>
        <v>0.3</v>
      </c>
      <c r="F24" s="5">
        <v>9</v>
      </c>
      <c r="G24" s="7">
        <f>F24/D24</f>
        <v>3</v>
      </c>
    </row>
    <row r="25" spans="2:10" x14ac:dyDescent="0.2">
      <c r="B25" s="4" t="s">
        <v>6</v>
      </c>
      <c r="C25" s="5" t="s">
        <v>7</v>
      </c>
      <c r="D25" s="25">
        <v>2</v>
      </c>
      <c r="E25" s="6">
        <f>F25/F26</f>
        <v>0.2</v>
      </c>
      <c r="F25" s="5">
        <v>6</v>
      </c>
      <c r="G25" s="7">
        <f>F25/D25</f>
        <v>3</v>
      </c>
    </row>
    <row r="26" spans="2:10" ht="15" thickBot="1" x14ac:dyDescent="0.25">
      <c r="B26" s="8"/>
      <c r="C26" s="9"/>
      <c r="D26" s="9"/>
      <c r="E26" s="10">
        <f>SUM(E22:E25)</f>
        <v>1</v>
      </c>
      <c r="F26" s="11">
        <f>SUM(F22:F25)</f>
        <v>30</v>
      </c>
      <c r="G26" s="12">
        <f>SUM(G22:G25)</f>
        <v>12</v>
      </c>
    </row>
    <row r="27" spans="2:10" x14ac:dyDescent="0.2">
      <c r="F27" t="s">
        <v>9</v>
      </c>
      <c r="G27" s="7">
        <f>F26/G26</f>
        <v>2.5</v>
      </c>
    </row>
    <row r="28" spans="2:10" x14ac:dyDescent="0.2">
      <c r="F28" s="18" t="s">
        <v>39</v>
      </c>
      <c r="G28" s="24"/>
    </row>
    <row r="29" spans="2:10" x14ac:dyDescent="0.2">
      <c r="B29" s="5" t="s">
        <v>13</v>
      </c>
    </row>
    <row r="30" spans="2:10" ht="15" thickBot="1" x14ac:dyDescent="0.25">
      <c r="B30" s="14" t="s">
        <v>10</v>
      </c>
      <c r="C30" s="14"/>
      <c r="D30" s="17">
        <v>4410</v>
      </c>
      <c r="E30" s="15" t="s">
        <v>11</v>
      </c>
      <c r="F30" s="15"/>
      <c r="G30">
        <f>(D30-F26)/4</f>
        <v>1095</v>
      </c>
      <c r="I30" t="s">
        <v>24</v>
      </c>
    </row>
    <row r="31" spans="2:10" x14ac:dyDescent="0.2">
      <c r="B31" s="13" t="s">
        <v>37</v>
      </c>
      <c r="C31" t="s">
        <v>34</v>
      </c>
      <c r="D31" t="s">
        <v>33</v>
      </c>
      <c r="E31" t="s">
        <v>32</v>
      </c>
      <c r="F31" s="2" t="s">
        <v>31</v>
      </c>
      <c r="G31" s="3" t="s">
        <v>30</v>
      </c>
      <c r="I31" t="s">
        <v>25</v>
      </c>
      <c r="J31" t="s">
        <v>26</v>
      </c>
    </row>
    <row r="32" spans="2:10" x14ac:dyDescent="0.2">
      <c r="B32" s="4" t="s">
        <v>0</v>
      </c>
      <c r="C32" s="5" t="s">
        <v>1</v>
      </c>
      <c r="D32" s="5">
        <f>D22</f>
        <v>4</v>
      </c>
      <c r="E32" s="6">
        <f>F32/F36</f>
        <v>0.25102040816326532</v>
      </c>
      <c r="F32" s="5">
        <f>F22+G30</f>
        <v>1107</v>
      </c>
      <c r="G32" s="7">
        <f>F32/D32</f>
        <v>276.75</v>
      </c>
      <c r="I32">
        <f>F36*F22/F26</f>
        <v>1764</v>
      </c>
      <c r="J32">
        <f>I32/D32</f>
        <v>441</v>
      </c>
    </row>
    <row r="33" spans="2:10" x14ac:dyDescent="0.2">
      <c r="B33" s="4" t="s">
        <v>2</v>
      </c>
      <c r="C33" s="5" t="s">
        <v>3</v>
      </c>
      <c r="D33" s="5">
        <f>D23</f>
        <v>1</v>
      </c>
      <c r="E33" s="6">
        <f>F33/F36</f>
        <v>0.24897959183673468</v>
      </c>
      <c r="F33" s="5">
        <f>F23+G30</f>
        <v>1098</v>
      </c>
      <c r="G33" s="7">
        <f>F33/D33</f>
        <v>1098</v>
      </c>
      <c r="I33">
        <f>F36*F23/F26</f>
        <v>441</v>
      </c>
      <c r="J33">
        <f>I33/D33</f>
        <v>441</v>
      </c>
    </row>
    <row r="34" spans="2:10" x14ac:dyDescent="0.2">
      <c r="B34" s="4" t="s">
        <v>4</v>
      </c>
      <c r="C34" s="5" t="s">
        <v>5</v>
      </c>
      <c r="D34" s="5">
        <f>D24</f>
        <v>3</v>
      </c>
      <c r="E34" s="6">
        <f>F34/F36</f>
        <v>0.25034013605442179</v>
      </c>
      <c r="F34" s="5">
        <f>F24+G30</f>
        <v>1104</v>
      </c>
      <c r="G34" s="7">
        <f>F34/D34</f>
        <v>368</v>
      </c>
      <c r="I34">
        <f>F36*F24/F26</f>
        <v>1323</v>
      </c>
      <c r="J34">
        <f>I34/D34</f>
        <v>441</v>
      </c>
    </row>
    <row r="35" spans="2:10" x14ac:dyDescent="0.2">
      <c r="B35" s="4" t="s">
        <v>6</v>
      </c>
      <c r="C35" s="5" t="s">
        <v>7</v>
      </c>
      <c r="D35" s="5">
        <f>D25</f>
        <v>2</v>
      </c>
      <c r="E35" s="6">
        <f>F35/F36</f>
        <v>0.24965986394557824</v>
      </c>
      <c r="F35" s="5">
        <f>F25+G30</f>
        <v>1101</v>
      </c>
      <c r="G35" s="7">
        <f>F35/D35</f>
        <v>550.5</v>
      </c>
      <c r="I35">
        <f>F36*F25/F26</f>
        <v>882</v>
      </c>
      <c r="J35">
        <f>I35/D35</f>
        <v>441</v>
      </c>
    </row>
    <row r="36" spans="2:10" ht="15" thickBot="1" x14ac:dyDescent="0.25">
      <c r="B36" s="8"/>
      <c r="C36" s="9"/>
      <c r="D36" s="9">
        <f>SUM(D32:D35)</f>
        <v>10</v>
      </c>
      <c r="E36" s="10">
        <f>SUM(E32:E35)</f>
        <v>1</v>
      </c>
      <c r="F36" s="11">
        <f>SUM(F32:F35)</f>
        <v>4410</v>
      </c>
      <c r="G36" s="12">
        <f>SUM(G32:G35)</f>
        <v>2293.25</v>
      </c>
      <c r="I36">
        <f>SUM(I32:I35)</f>
        <v>4410</v>
      </c>
      <c r="J36">
        <f>SUM(J32:J35)</f>
        <v>1764</v>
      </c>
    </row>
    <row r="37" spans="2:10" x14ac:dyDescent="0.2">
      <c r="E37" t="s">
        <v>20</v>
      </c>
      <c r="F37" t="s">
        <v>12</v>
      </c>
      <c r="G37" s="7">
        <f>F36/G36</f>
        <v>1.9230349940041427</v>
      </c>
      <c r="I37" t="s">
        <v>27</v>
      </c>
      <c r="J37">
        <f>I36/J36</f>
        <v>2.5</v>
      </c>
    </row>
    <row r="38" spans="2:10" x14ac:dyDescent="0.2">
      <c r="F38" t="s">
        <v>41</v>
      </c>
      <c r="I38" s="18" t="s">
        <v>39</v>
      </c>
    </row>
    <row r="39" spans="2:10" ht="15" thickBot="1" x14ac:dyDescent="0.25">
      <c r="B39" s="14" t="s">
        <v>10</v>
      </c>
      <c r="C39" s="14"/>
      <c r="D39" s="17">
        <v>4830</v>
      </c>
      <c r="E39" s="15" t="s">
        <v>11</v>
      </c>
      <c r="F39" s="15"/>
      <c r="G39">
        <f>(D39-F26)/4</f>
        <v>1200</v>
      </c>
      <c r="I39" t="s">
        <v>24</v>
      </c>
    </row>
    <row r="40" spans="2:10" x14ac:dyDescent="0.2">
      <c r="B40" s="13" t="s">
        <v>37</v>
      </c>
      <c r="C40" t="s">
        <v>34</v>
      </c>
      <c r="D40" t="s">
        <v>33</v>
      </c>
      <c r="E40" t="s">
        <v>32</v>
      </c>
      <c r="F40" s="2" t="s">
        <v>31</v>
      </c>
      <c r="G40" s="3" t="s">
        <v>30</v>
      </c>
      <c r="I40" t="s">
        <v>25</v>
      </c>
      <c r="J40" t="s">
        <v>26</v>
      </c>
    </row>
    <row r="41" spans="2:10" x14ac:dyDescent="0.2">
      <c r="B41" s="4" t="s">
        <v>0</v>
      </c>
      <c r="C41" s="5" t="s">
        <v>1</v>
      </c>
      <c r="D41" s="5">
        <f>D22</f>
        <v>4</v>
      </c>
      <c r="E41" s="6">
        <f>F41/F45</f>
        <v>0.25093167701863356</v>
      </c>
      <c r="F41" s="5">
        <f>F22+G39</f>
        <v>1212</v>
      </c>
      <c r="G41" s="7">
        <f>F41/D41</f>
        <v>303</v>
      </c>
      <c r="I41">
        <f>F45*F22/F26</f>
        <v>1932</v>
      </c>
      <c r="J41">
        <f>I41/D41</f>
        <v>483</v>
      </c>
    </row>
    <row r="42" spans="2:10" x14ac:dyDescent="0.2">
      <c r="B42" s="4" t="s">
        <v>2</v>
      </c>
      <c r="C42" s="5" t="s">
        <v>3</v>
      </c>
      <c r="D42" s="5">
        <f>D23</f>
        <v>1</v>
      </c>
      <c r="E42" s="6">
        <f>F42/F45</f>
        <v>0.24906832298136647</v>
      </c>
      <c r="F42" s="5">
        <f>F23+G39</f>
        <v>1203</v>
      </c>
      <c r="G42" s="7">
        <f>F42/D42</f>
        <v>1203</v>
      </c>
      <c r="I42">
        <f>F45*F23/F26</f>
        <v>483</v>
      </c>
      <c r="J42">
        <f>I42/D42</f>
        <v>483</v>
      </c>
    </row>
    <row r="43" spans="2:10" x14ac:dyDescent="0.2">
      <c r="B43" s="4" t="s">
        <v>4</v>
      </c>
      <c r="C43" s="5" t="s">
        <v>5</v>
      </c>
      <c r="D43" s="5">
        <f>D24</f>
        <v>3</v>
      </c>
      <c r="E43" s="6">
        <f>F43/F45</f>
        <v>0.25031055900621119</v>
      </c>
      <c r="F43" s="5">
        <f>F24+G39</f>
        <v>1209</v>
      </c>
      <c r="G43" s="7">
        <f>F43/D43</f>
        <v>403</v>
      </c>
      <c r="I43">
        <f>F45*F24/F26</f>
        <v>1449</v>
      </c>
      <c r="J43">
        <f>I43/D43</f>
        <v>483</v>
      </c>
    </row>
    <row r="44" spans="2:10" x14ac:dyDescent="0.2">
      <c r="B44" s="4" t="s">
        <v>6</v>
      </c>
      <c r="C44" s="5" t="s">
        <v>7</v>
      </c>
      <c r="D44" s="5">
        <f>D25</f>
        <v>2</v>
      </c>
      <c r="E44" s="6">
        <f>F44/F45</f>
        <v>0.24968944099378881</v>
      </c>
      <c r="F44" s="5">
        <f>F25+G39</f>
        <v>1206</v>
      </c>
      <c r="G44" s="7">
        <f>F44/D44</f>
        <v>603</v>
      </c>
      <c r="I44">
        <f>F45*F25/F26</f>
        <v>966</v>
      </c>
      <c r="J44">
        <f>I44/D44</f>
        <v>483</v>
      </c>
    </row>
    <row r="45" spans="2:10" ht="15" thickBot="1" x14ac:dyDescent="0.25">
      <c r="B45" s="8"/>
      <c r="C45" s="9"/>
      <c r="D45" s="9">
        <f>SUM(D41:D44)</f>
        <v>10</v>
      </c>
      <c r="E45" s="10">
        <f>SUM(E41:E44)</f>
        <v>1</v>
      </c>
      <c r="F45" s="11">
        <f>SUM(F41:F44)</f>
        <v>4830</v>
      </c>
      <c r="G45" s="12">
        <f>SUM(G41:G44)</f>
        <v>2512</v>
      </c>
      <c r="I45">
        <f>SUM(I41:I44)</f>
        <v>4830</v>
      </c>
      <c r="J45">
        <f>SUM(J41:J44)</f>
        <v>1932</v>
      </c>
    </row>
    <row r="46" spans="2:10" x14ac:dyDescent="0.2">
      <c r="E46" t="s">
        <v>21</v>
      </c>
      <c r="F46" t="s">
        <v>12</v>
      </c>
      <c r="G46" s="7">
        <f>F45/G45</f>
        <v>1.9227707006369428</v>
      </c>
      <c r="I46" t="s">
        <v>27</v>
      </c>
      <c r="J46">
        <f>I45/J45</f>
        <v>2.5</v>
      </c>
    </row>
    <row r="47" spans="2:10" x14ac:dyDescent="0.2">
      <c r="F47" t="s">
        <v>41</v>
      </c>
      <c r="I47" s="18" t="s">
        <v>39</v>
      </c>
    </row>
    <row r="48" spans="2:10" ht="15" thickBot="1" x14ac:dyDescent="0.25">
      <c r="B48" s="14" t="s">
        <v>10</v>
      </c>
      <c r="C48" s="14"/>
      <c r="D48" s="17">
        <v>5250</v>
      </c>
      <c r="E48" s="15" t="s">
        <v>11</v>
      </c>
      <c r="F48" s="15"/>
      <c r="G48">
        <f>(D48-F26)/4</f>
        <v>1305</v>
      </c>
      <c r="I48" t="s">
        <v>24</v>
      </c>
    </row>
    <row r="49" spans="1:18" x14ac:dyDescent="0.2">
      <c r="B49" s="13" t="s">
        <v>37</v>
      </c>
      <c r="C49" t="s">
        <v>34</v>
      </c>
      <c r="D49" t="s">
        <v>33</v>
      </c>
      <c r="E49" t="s">
        <v>32</v>
      </c>
      <c r="F49" s="2" t="s">
        <v>31</v>
      </c>
      <c r="G49" s="3" t="s">
        <v>30</v>
      </c>
      <c r="I49" t="s">
        <v>25</v>
      </c>
      <c r="J49" t="s">
        <v>26</v>
      </c>
    </row>
    <row r="50" spans="1:18" x14ac:dyDescent="0.2">
      <c r="B50" s="4" t="s">
        <v>0</v>
      </c>
      <c r="C50" s="5" t="s">
        <v>1</v>
      </c>
      <c r="D50" s="5">
        <f>D22</f>
        <v>4</v>
      </c>
      <c r="E50" s="6">
        <f>F50/F54</f>
        <v>0.25085714285714283</v>
      </c>
      <c r="F50" s="5">
        <f>F22+G48</f>
        <v>1317</v>
      </c>
      <c r="G50" s="7">
        <f>F50/D50</f>
        <v>329.25</v>
      </c>
      <c r="I50">
        <f>F54*F22/F26</f>
        <v>2100</v>
      </c>
      <c r="J50">
        <f>I50/D50</f>
        <v>525</v>
      </c>
    </row>
    <row r="51" spans="1:18" x14ac:dyDescent="0.2">
      <c r="B51" s="4" t="s">
        <v>2</v>
      </c>
      <c r="C51" s="5" t="s">
        <v>3</v>
      </c>
      <c r="D51" s="5">
        <f>D23</f>
        <v>1</v>
      </c>
      <c r="E51" s="6">
        <f>F51/F54</f>
        <v>0.24914285714285714</v>
      </c>
      <c r="F51" s="5">
        <f>F23+G48</f>
        <v>1308</v>
      </c>
      <c r="G51" s="7">
        <f>F51/D51</f>
        <v>1308</v>
      </c>
      <c r="I51">
        <f>F54*F23/F26</f>
        <v>525</v>
      </c>
      <c r="J51">
        <f>I51/D51</f>
        <v>525</v>
      </c>
    </row>
    <row r="52" spans="1:18" x14ac:dyDescent="0.2">
      <c r="B52" s="4" t="s">
        <v>4</v>
      </c>
      <c r="C52" s="5" t="s">
        <v>5</v>
      </c>
      <c r="D52" s="5">
        <f>D24</f>
        <v>3</v>
      </c>
      <c r="E52" s="6">
        <f>F52/F54</f>
        <v>0.25028571428571428</v>
      </c>
      <c r="F52" s="5">
        <f>F24+G48</f>
        <v>1314</v>
      </c>
      <c r="G52" s="7">
        <f>F52/D52</f>
        <v>438</v>
      </c>
      <c r="I52">
        <f>F54*F24/F26</f>
        <v>1575</v>
      </c>
      <c r="J52">
        <f>I52/D52</f>
        <v>525</v>
      </c>
    </row>
    <row r="53" spans="1:18" x14ac:dyDescent="0.2">
      <c r="B53" s="4" t="s">
        <v>6</v>
      </c>
      <c r="C53" s="5" t="s">
        <v>7</v>
      </c>
      <c r="D53" s="5">
        <f>D25</f>
        <v>2</v>
      </c>
      <c r="E53" s="6">
        <f>F53/F54</f>
        <v>0.24971428571428572</v>
      </c>
      <c r="F53" s="5">
        <f>F25+G48</f>
        <v>1311</v>
      </c>
      <c r="G53" s="7">
        <f>F53/D53</f>
        <v>655.5</v>
      </c>
      <c r="I53">
        <f>F54*F25/F26</f>
        <v>1050</v>
      </c>
      <c r="J53">
        <f>I53/D53</f>
        <v>525</v>
      </c>
    </row>
    <row r="54" spans="1:18" ht="15" thickBot="1" x14ac:dyDescent="0.25">
      <c r="B54" s="8"/>
      <c r="C54" s="9"/>
      <c r="D54" s="9">
        <f>SUM(D50:D53)</f>
        <v>10</v>
      </c>
      <c r="E54" s="10">
        <f>SUM(E50:E53)</f>
        <v>1</v>
      </c>
      <c r="F54" s="11">
        <f>SUM(F50:F53)</f>
        <v>5250</v>
      </c>
      <c r="G54" s="12">
        <f>SUM(G50:G53)</f>
        <v>2730.75</v>
      </c>
      <c r="I54">
        <f>SUM(I50:I53)</f>
        <v>5250</v>
      </c>
      <c r="J54">
        <f>SUM(J50:J53)</f>
        <v>2100</v>
      </c>
    </row>
    <row r="55" spans="1:18" x14ac:dyDescent="0.2">
      <c r="E55" t="s">
        <v>22</v>
      </c>
      <c r="F55" t="s">
        <v>12</v>
      </c>
      <c r="G55" s="7">
        <f>F54/G54</f>
        <v>1.9225487503433123</v>
      </c>
      <c r="I55" t="s">
        <v>27</v>
      </c>
      <c r="J55">
        <f>I54/J54</f>
        <v>2.5</v>
      </c>
    </row>
    <row r="56" spans="1:18" x14ac:dyDescent="0.2">
      <c r="F56" t="s">
        <v>41</v>
      </c>
      <c r="I56" s="18" t="s">
        <v>39</v>
      </c>
    </row>
    <row r="57" spans="1:18" x14ac:dyDescent="0.2">
      <c r="A57" s="22" t="s">
        <v>42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ht="15" thickBot="1" x14ac:dyDescent="0.25">
      <c r="B58" s="11" t="s">
        <v>23</v>
      </c>
      <c r="C58" t="s">
        <v>28</v>
      </c>
      <c r="D58" s="19">
        <v>2</v>
      </c>
      <c r="E58" t="s">
        <v>38</v>
      </c>
      <c r="F58">
        <f>MIN(F60:F65)</f>
        <v>6</v>
      </c>
      <c r="I58" t="s">
        <v>24</v>
      </c>
    </row>
    <row r="59" spans="1:18" x14ac:dyDescent="0.2">
      <c r="B59" s="1" t="s">
        <v>37</v>
      </c>
      <c r="C59" s="2" t="s">
        <v>34</v>
      </c>
      <c r="D59" s="2" t="s">
        <v>33</v>
      </c>
      <c r="E59" s="2" t="s">
        <v>32</v>
      </c>
      <c r="F59" s="2" t="s">
        <v>31</v>
      </c>
      <c r="G59" s="3" t="s">
        <v>30</v>
      </c>
      <c r="I59" t="s">
        <v>25</v>
      </c>
      <c r="J59" t="s">
        <v>26</v>
      </c>
    </row>
    <row r="60" spans="1:18" x14ac:dyDescent="0.2">
      <c r="B60" s="13" t="s">
        <v>43</v>
      </c>
      <c r="C60" t="s">
        <v>14</v>
      </c>
      <c r="D60" s="5">
        <f>F60/F58</f>
        <v>5.166666666666667</v>
      </c>
      <c r="E60" s="6">
        <f>F60/F66</f>
        <v>0.27927927927927926</v>
      </c>
      <c r="F60" s="5">
        <f>F73+D58-1</f>
        <v>31</v>
      </c>
      <c r="G60" s="7">
        <f t="shared" ref="G60:G65" si="1">F60/D60</f>
        <v>6</v>
      </c>
      <c r="I60">
        <f>F66*F73/F79</f>
        <v>31.714285714285715</v>
      </c>
      <c r="J60">
        <f t="shared" ref="J60:J65" si="2">I60/D60</f>
        <v>6.1382488479262669</v>
      </c>
    </row>
    <row r="61" spans="1:18" x14ac:dyDescent="0.2">
      <c r="B61" s="4" t="s">
        <v>0</v>
      </c>
      <c r="C61" s="5" t="s">
        <v>1</v>
      </c>
      <c r="D61" s="5">
        <f>F61/F58</f>
        <v>1</v>
      </c>
      <c r="E61" s="6">
        <f>F61/F66</f>
        <v>5.4054054054054057E-2</v>
      </c>
      <c r="F61" s="5">
        <f>F74+D58-1</f>
        <v>6</v>
      </c>
      <c r="G61" s="7">
        <f t="shared" si="1"/>
        <v>6</v>
      </c>
      <c r="I61">
        <f>F66*F74/F79</f>
        <v>5.2857142857142856</v>
      </c>
      <c r="J61">
        <f t="shared" si="2"/>
        <v>5.2857142857142856</v>
      </c>
    </row>
    <row r="62" spans="1:18" x14ac:dyDescent="0.2">
      <c r="B62" s="4" t="s">
        <v>2</v>
      </c>
      <c r="C62" s="5" t="s">
        <v>3</v>
      </c>
      <c r="D62" s="5">
        <f>F62/F58</f>
        <v>4.333333333333333</v>
      </c>
      <c r="E62" s="6">
        <f>F62/F66</f>
        <v>0.23423423423423423</v>
      </c>
      <c r="F62" s="5">
        <f>F75+D58-1</f>
        <v>26</v>
      </c>
      <c r="G62" s="7">
        <f t="shared" si="1"/>
        <v>6</v>
      </c>
      <c r="I62">
        <f>F66*F75/F79</f>
        <v>26.428571428571427</v>
      </c>
      <c r="J62">
        <f t="shared" si="2"/>
        <v>6.0989010989010985</v>
      </c>
    </row>
    <row r="63" spans="1:18" x14ac:dyDescent="0.2">
      <c r="B63" s="4" t="s">
        <v>4</v>
      </c>
      <c r="C63" s="5" t="s">
        <v>5</v>
      </c>
      <c r="D63" s="5">
        <f>F63/F58</f>
        <v>1.8333333333333333</v>
      </c>
      <c r="E63" s="6">
        <f>F63/F66</f>
        <v>9.90990990990991E-2</v>
      </c>
      <c r="F63" s="5">
        <f>F76+D58-1</f>
        <v>11</v>
      </c>
      <c r="G63" s="7">
        <f t="shared" si="1"/>
        <v>6</v>
      </c>
      <c r="I63">
        <f>F66*F76/F79</f>
        <v>10.571428571428571</v>
      </c>
      <c r="J63">
        <f t="shared" si="2"/>
        <v>5.7662337662337659</v>
      </c>
    </row>
    <row r="64" spans="1:18" x14ac:dyDescent="0.2">
      <c r="B64" s="4" t="s">
        <v>6</v>
      </c>
      <c r="C64" s="5" t="s">
        <v>7</v>
      </c>
      <c r="D64" s="5">
        <f>F64/F58</f>
        <v>3.5</v>
      </c>
      <c r="E64" s="6">
        <f>F64/F66</f>
        <v>0.1891891891891892</v>
      </c>
      <c r="F64" s="5">
        <f>F77+D58-1</f>
        <v>21</v>
      </c>
      <c r="G64" s="7">
        <f t="shared" si="1"/>
        <v>6</v>
      </c>
      <c r="I64">
        <f>F66*F77/F79</f>
        <v>21.142857142857142</v>
      </c>
      <c r="J64">
        <f t="shared" si="2"/>
        <v>6.0408163265306118</v>
      </c>
    </row>
    <row r="65" spans="2:10" x14ac:dyDescent="0.2">
      <c r="B65" s="4" t="s">
        <v>44</v>
      </c>
      <c r="C65" s="5" t="s">
        <v>15</v>
      </c>
      <c r="D65" s="5">
        <f>F65/F58</f>
        <v>2.6666666666666665</v>
      </c>
      <c r="E65" s="6">
        <f>F65/F66</f>
        <v>0.14414414414414414</v>
      </c>
      <c r="F65" s="5">
        <f>F78+D58-1</f>
        <v>16</v>
      </c>
      <c r="G65" s="7">
        <f t="shared" si="1"/>
        <v>6</v>
      </c>
      <c r="I65">
        <f>F66*F78/F79</f>
        <v>15.857142857142858</v>
      </c>
      <c r="J65">
        <f t="shared" si="2"/>
        <v>5.9464285714285721</v>
      </c>
    </row>
    <row r="66" spans="2:10" ht="15" thickBot="1" x14ac:dyDescent="0.25">
      <c r="B66" s="8"/>
      <c r="C66" s="9"/>
      <c r="D66" s="9">
        <f>SUM(D60:D65)</f>
        <v>18.5</v>
      </c>
      <c r="E66" s="10">
        <f>SUM(E60:E65)</f>
        <v>0.99999999999999989</v>
      </c>
      <c r="F66" s="11">
        <f>SUM(F60:F65)</f>
        <v>111</v>
      </c>
      <c r="G66" s="12">
        <f>SUM(G61:G64)</f>
        <v>24</v>
      </c>
      <c r="I66">
        <f>SUM(I60:I65)</f>
        <v>111</v>
      </c>
      <c r="J66">
        <f>SUM(J60:J65)</f>
        <v>35.276342896734597</v>
      </c>
    </row>
    <row r="67" spans="2:10" x14ac:dyDescent="0.2">
      <c r="F67" t="s">
        <v>9</v>
      </c>
      <c r="G67" s="7">
        <f>F66/G66</f>
        <v>4.625</v>
      </c>
      <c r="I67" t="s">
        <v>9</v>
      </c>
      <c r="J67">
        <f>I66/J66</f>
        <v>3.1465846764482741</v>
      </c>
    </row>
    <row r="68" spans="2:10" x14ac:dyDescent="0.2">
      <c r="F68" s="21" t="s">
        <v>39</v>
      </c>
      <c r="G68" s="16"/>
      <c r="I68" s="16" t="s">
        <v>41</v>
      </c>
      <c r="J68" s="16"/>
    </row>
    <row r="71" spans="2:10" ht="15" thickBot="1" x14ac:dyDescent="0.25">
      <c r="B71" s="11" t="s">
        <v>16</v>
      </c>
      <c r="C71" s="11"/>
      <c r="E71" t="s">
        <v>38</v>
      </c>
      <c r="F71">
        <f>MIN(F73:F78)</f>
        <v>5</v>
      </c>
    </row>
    <row r="72" spans="2:10" x14ac:dyDescent="0.2">
      <c r="B72" s="1" t="s">
        <v>37</v>
      </c>
      <c r="C72" s="2" t="s">
        <v>34</v>
      </c>
      <c r="D72" s="2" t="s">
        <v>33</v>
      </c>
      <c r="E72" s="2" t="s">
        <v>32</v>
      </c>
      <c r="F72" s="2" t="s">
        <v>31</v>
      </c>
      <c r="G72" s="3" t="s">
        <v>30</v>
      </c>
    </row>
    <row r="73" spans="2:10" x14ac:dyDescent="0.2">
      <c r="B73" s="13" t="s">
        <v>43</v>
      </c>
      <c r="C73" t="s">
        <v>14</v>
      </c>
      <c r="D73" s="25">
        <f>F73/F71</f>
        <v>6</v>
      </c>
      <c r="E73" s="6">
        <f>F73/F79</f>
        <v>0.2857142857142857</v>
      </c>
      <c r="F73" s="5">
        <v>30</v>
      </c>
      <c r="G73" s="7">
        <f t="shared" ref="G73:G78" si="3">F73/D73</f>
        <v>5</v>
      </c>
    </row>
    <row r="74" spans="2:10" x14ac:dyDescent="0.2">
      <c r="B74" s="4" t="s">
        <v>0</v>
      </c>
      <c r="C74" s="5" t="s">
        <v>1</v>
      </c>
      <c r="D74" s="25">
        <f>F74/F71</f>
        <v>1</v>
      </c>
      <c r="E74" s="6">
        <f>F74/F79</f>
        <v>4.7619047619047616E-2</v>
      </c>
      <c r="F74" s="5">
        <v>5</v>
      </c>
      <c r="G74" s="7">
        <f t="shared" si="3"/>
        <v>5</v>
      </c>
    </row>
    <row r="75" spans="2:10" x14ac:dyDescent="0.2">
      <c r="B75" s="4" t="s">
        <v>2</v>
      </c>
      <c r="C75" s="5" t="s">
        <v>3</v>
      </c>
      <c r="D75" s="25">
        <f>F75/F71</f>
        <v>5</v>
      </c>
      <c r="E75" s="6">
        <f>F75/F79</f>
        <v>0.23809523809523808</v>
      </c>
      <c r="F75" s="5">
        <v>25</v>
      </c>
      <c r="G75" s="7">
        <f t="shared" si="3"/>
        <v>5</v>
      </c>
    </row>
    <row r="76" spans="2:10" x14ac:dyDescent="0.2">
      <c r="B76" s="4" t="s">
        <v>4</v>
      </c>
      <c r="C76" s="5" t="s">
        <v>5</v>
      </c>
      <c r="D76" s="25">
        <f>F76/F71</f>
        <v>2</v>
      </c>
      <c r="E76" s="6">
        <f>F76/F79</f>
        <v>9.5238095238095233E-2</v>
      </c>
      <c r="F76" s="5">
        <v>10</v>
      </c>
      <c r="G76" s="7">
        <f t="shared" si="3"/>
        <v>5</v>
      </c>
    </row>
    <row r="77" spans="2:10" x14ac:dyDescent="0.2">
      <c r="B77" s="4" t="s">
        <v>6</v>
      </c>
      <c r="C77" s="5" t="s">
        <v>7</v>
      </c>
      <c r="D77" s="25">
        <f>F77/F71</f>
        <v>4</v>
      </c>
      <c r="E77" s="6">
        <f>F77/F79</f>
        <v>0.19047619047619047</v>
      </c>
      <c r="F77" s="5">
        <v>20</v>
      </c>
      <c r="G77" s="7">
        <f t="shared" si="3"/>
        <v>5</v>
      </c>
    </row>
    <row r="78" spans="2:10" x14ac:dyDescent="0.2">
      <c r="B78" s="4" t="s">
        <v>44</v>
      </c>
      <c r="C78" s="5" t="s">
        <v>15</v>
      </c>
      <c r="D78" s="25">
        <f>F78/F71</f>
        <v>3</v>
      </c>
      <c r="E78" s="6">
        <f>F78/F79</f>
        <v>0.14285714285714285</v>
      </c>
      <c r="F78" s="5">
        <v>15</v>
      </c>
      <c r="G78" s="7">
        <f t="shared" si="3"/>
        <v>5</v>
      </c>
    </row>
    <row r="79" spans="2:10" ht="15" thickBot="1" x14ac:dyDescent="0.25">
      <c r="B79" s="8"/>
      <c r="C79" s="9"/>
      <c r="D79" s="9">
        <f>SUM(D73:D78)</f>
        <v>21</v>
      </c>
      <c r="E79" s="10">
        <f>SUM(E73:E78)</f>
        <v>1</v>
      </c>
      <c r="F79" s="11">
        <f>SUM(F73:F78)</f>
        <v>105</v>
      </c>
      <c r="G79" s="12">
        <f>SUM(G74:G77)</f>
        <v>20</v>
      </c>
    </row>
    <row r="80" spans="2:10" x14ac:dyDescent="0.2">
      <c r="F80" t="s">
        <v>9</v>
      </c>
      <c r="G80" s="7">
        <f>F79/G79</f>
        <v>5.25</v>
      </c>
    </row>
    <row r="81" spans="2:10" x14ac:dyDescent="0.2">
      <c r="F81" s="18" t="s">
        <v>39</v>
      </c>
    </row>
    <row r="82" spans="2:10" x14ac:dyDescent="0.2">
      <c r="B82" s="5" t="s">
        <v>18</v>
      </c>
    </row>
    <row r="83" spans="2:10" ht="15" thickBot="1" x14ac:dyDescent="0.25">
      <c r="B83" s="14" t="s">
        <v>10</v>
      </c>
      <c r="C83" s="14"/>
      <c r="D83" s="17">
        <v>2205</v>
      </c>
      <c r="E83" s="15" t="s">
        <v>19</v>
      </c>
      <c r="F83" s="15"/>
      <c r="G83">
        <f>(D83-F79)/6</f>
        <v>350</v>
      </c>
      <c r="I83" t="s">
        <v>24</v>
      </c>
    </row>
    <row r="84" spans="2:10" x14ac:dyDescent="0.2">
      <c r="B84" s="1" t="s">
        <v>36</v>
      </c>
      <c r="C84" s="2" t="s">
        <v>34</v>
      </c>
      <c r="D84" s="2" t="s">
        <v>33</v>
      </c>
      <c r="E84" s="2" t="s">
        <v>32</v>
      </c>
      <c r="F84" s="2" t="s">
        <v>31</v>
      </c>
      <c r="G84" s="3" t="s">
        <v>30</v>
      </c>
      <c r="I84" t="s">
        <v>25</v>
      </c>
      <c r="J84" t="s">
        <v>26</v>
      </c>
    </row>
    <row r="85" spans="2:10" x14ac:dyDescent="0.2">
      <c r="B85" s="13" t="s">
        <v>43</v>
      </c>
      <c r="C85" t="s">
        <v>14</v>
      </c>
      <c r="D85" s="5">
        <f t="shared" ref="D85:D90" si="4">D73</f>
        <v>6</v>
      </c>
      <c r="E85" s="6">
        <f>F85/F91</f>
        <v>0.17233560090702948</v>
      </c>
      <c r="F85" s="5">
        <f>F73+G83</f>
        <v>380</v>
      </c>
      <c r="G85" s="7">
        <f t="shared" ref="G85:G90" si="5">F85/D85</f>
        <v>63.333333333333336</v>
      </c>
      <c r="I85">
        <f>F91*F73/F79</f>
        <v>630</v>
      </c>
      <c r="J85">
        <f t="shared" ref="J85:J90" si="6">I85/D85</f>
        <v>105</v>
      </c>
    </row>
    <row r="86" spans="2:10" x14ac:dyDescent="0.2">
      <c r="B86" s="4" t="s">
        <v>0</v>
      </c>
      <c r="C86" s="5" t="s">
        <v>1</v>
      </c>
      <c r="D86" s="5">
        <f t="shared" si="4"/>
        <v>1</v>
      </c>
      <c r="E86" s="6">
        <f>F86/F91</f>
        <v>0.16099773242630386</v>
      </c>
      <c r="F86" s="5">
        <f>F74+G83</f>
        <v>355</v>
      </c>
      <c r="G86" s="7">
        <f t="shared" si="5"/>
        <v>355</v>
      </c>
      <c r="I86">
        <f>F91*F74/F79</f>
        <v>105</v>
      </c>
      <c r="J86">
        <f t="shared" si="6"/>
        <v>105</v>
      </c>
    </row>
    <row r="87" spans="2:10" x14ac:dyDescent="0.2">
      <c r="B87" s="4" t="s">
        <v>2</v>
      </c>
      <c r="C87" s="5" t="s">
        <v>3</v>
      </c>
      <c r="D87" s="5">
        <f t="shared" si="4"/>
        <v>5</v>
      </c>
      <c r="E87" s="6">
        <f>F87/F91</f>
        <v>0.17006802721088435</v>
      </c>
      <c r="F87" s="5">
        <f>F75+G83</f>
        <v>375</v>
      </c>
      <c r="G87" s="7">
        <f t="shared" si="5"/>
        <v>75</v>
      </c>
      <c r="I87">
        <f>F91*F75/F79</f>
        <v>525</v>
      </c>
      <c r="J87">
        <f t="shared" si="6"/>
        <v>105</v>
      </c>
    </row>
    <row r="88" spans="2:10" x14ac:dyDescent="0.2">
      <c r="B88" s="4" t="s">
        <v>4</v>
      </c>
      <c r="C88" s="5" t="s">
        <v>5</v>
      </c>
      <c r="D88" s="5">
        <f t="shared" si="4"/>
        <v>2</v>
      </c>
      <c r="E88" s="6">
        <f>F88/F91</f>
        <v>0.16326530612244897</v>
      </c>
      <c r="F88" s="5">
        <f>F76+G83</f>
        <v>360</v>
      </c>
      <c r="G88" s="7">
        <f t="shared" si="5"/>
        <v>180</v>
      </c>
      <c r="I88">
        <f>F91*F76/F79</f>
        <v>210</v>
      </c>
      <c r="J88">
        <f t="shared" si="6"/>
        <v>105</v>
      </c>
    </row>
    <row r="89" spans="2:10" x14ac:dyDescent="0.2">
      <c r="B89" s="4" t="s">
        <v>6</v>
      </c>
      <c r="C89" s="5" t="s">
        <v>7</v>
      </c>
      <c r="D89" s="5">
        <f t="shared" si="4"/>
        <v>4</v>
      </c>
      <c r="E89" s="6">
        <f>F89/F91</f>
        <v>0.16780045351473924</v>
      </c>
      <c r="F89" s="5">
        <f>F77+G83</f>
        <v>370</v>
      </c>
      <c r="G89" s="7">
        <f t="shared" si="5"/>
        <v>92.5</v>
      </c>
      <c r="I89">
        <f>F91*F77/F79</f>
        <v>420</v>
      </c>
      <c r="J89">
        <f t="shared" si="6"/>
        <v>105</v>
      </c>
    </row>
    <row r="90" spans="2:10" x14ac:dyDescent="0.2">
      <c r="B90" s="4" t="s">
        <v>44</v>
      </c>
      <c r="C90" s="5" t="s">
        <v>15</v>
      </c>
      <c r="D90" s="5">
        <f t="shared" si="4"/>
        <v>3</v>
      </c>
      <c r="E90" s="6">
        <f>F90/F91</f>
        <v>0.1655328798185941</v>
      </c>
      <c r="F90" s="5">
        <f>F78+G83</f>
        <v>365</v>
      </c>
      <c r="G90" s="7">
        <f t="shared" si="5"/>
        <v>121.66666666666667</v>
      </c>
      <c r="I90">
        <f>F91*F78/F79</f>
        <v>315</v>
      </c>
      <c r="J90">
        <f t="shared" si="6"/>
        <v>105</v>
      </c>
    </row>
    <row r="91" spans="2:10" ht="15" thickBot="1" x14ac:dyDescent="0.25">
      <c r="B91" s="8"/>
      <c r="C91" s="9"/>
      <c r="D91" s="9">
        <f>SUM(D85:D90)</f>
        <v>21</v>
      </c>
      <c r="E91" s="10">
        <f>SUM(E85:E90)</f>
        <v>1</v>
      </c>
      <c r="F91" s="11">
        <f>SUM(F85:F90)</f>
        <v>2205</v>
      </c>
      <c r="G91" s="12">
        <f>SUM(G86:G89)</f>
        <v>702.5</v>
      </c>
      <c r="I91">
        <f>SUM(I85:I90)</f>
        <v>2205</v>
      </c>
      <c r="J91">
        <f>SUM(J85:J90)</f>
        <v>630</v>
      </c>
    </row>
    <row r="92" spans="2:10" x14ac:dyDescent="0.2">
      <c r="E92" t="s">
        <v>20</v>
      </c>
      <c r="F92" t="s">
        <v>12</v>
      </c>
      <c r="G92" s="7">
        <f>F91/G91</f>
        <v>3.1387900355871885</v>
      </c>
      <c r="I92" t="s">
        <v>27</v>
      </c>
      <c r="J92">
        <f>I91/J91</f>
        <v>3.5</v>
      </c>
    </row>
    <row r="93" spans="2:10" x14ac:dyDescent="0.2">
      <c r="F93" s="16" t="s">
        <v>41</v>
      </c>
      <c r="G93" s="16"/>
      <c r="I93" s="18" t="s">
        <v>39</v>
      </c>
    </row>
    <row r="94" spans="2:10" x14ac:dyDescent="0.2">
      <c r="B94" s="5" t="s">
        <v>18</v>
      </c>
    </row>
    <row r="95" spans="2:10" ht="15" thickBot="1" x14ac:dyDescent="0.25">
      <c r="B95" s="14" t="s">
        <v>10</v>
      </c>
      <c r="C95" s="14"/>
      <c r="D95" s="17">
        <v>6405</v>
      </c>
      <c r="E95" s="15" t="s">
        <v>19</v>
      </c>
      <c r="F95" s="15"/>
      <c r="G95">
        <f>(D95-F79)/6</f>
        <v>1050</v>
      </c>
      <c r="I95" t="s">
        <v>24</v>
      </c>
    </row>
    <row r="96" spans="2:10" x14ac:dyDescent="0.2">
      <c r="B96" s="1" t="s">
        <v>36</v>
      </c>
      <c r="C96" s="2" t="s">
        <v>34</v>
      </c>
      <c r="D96" s="2" t="s">
        <v>33</v>
      </c>
      <c r="E96" s="2" t="s">
        <v>32</v>
      </c>
      <c r="F96" s="2" t="s">
        <v>31</v>
      </c>
      <c r="G96" s="3" t="s">
        <v>30</v>
      </c>
      <c r="I96" t="s">
        <v>25</v>
      </c>
      <c r="J96" t="s">
        <v>26</v>
      </c>
    </row>
    <row r="97" spans="2:10" x14ac:dyDescent="0.2">
      <c r="B97" s="13" t="s">
        <v>43</v>
      </c>
      <c r="C97" t="s">
        <v>14</v>
      </c>
      <c r="D97" s="5">
        <f t="shared" ref="D97:D102" si="7">D85</f>
        <v>6</v>
      </c>
      <c r="E97" s="6">
        <f>F97/F103</f>
        <v>0.16861826697892271</v>
      </c>
      <c r="F97" s="5">
        <f>F73+G95</f>
        <v>1080</v>
      </c>
      <c r="G97" s="7">
        <f t="shared" ref="G97:G102" si="8">F97/D97</f>
        <v>180</v>
      </c>
      <c r="I97">
        <f>F103*F73/F79</f>
        <v>1830</v>
      </c>
      <c r="J97">
        <f t="shared" ref="J97:J102" si="9">I97/D97</f>
        <v>305</v>
      </c>
    </row>
    <row r="98" spans="2:10" x14ac:dyDescent="0.2">
      <c r="B98" s="4" t="s">
        <v>0</v>
      </c>
      <c r="C98" s="5" t="s">
        <v>1</v>
      </c>
      <c r="D98" s="5">
        <f t="shared" si="7"/>
        <v>1</v>
      </c>
      <c r="E98" s="6">
        <f>F98/F103</f>
        <v>0.16471506635441061</v>
      </c>
      <c r="F98" s="5">
        <f>F74+G95</f>
        <v>1055</v>
      </c>
      <c r="G98" s="7">
        <f t="shared" si="8"/>
        <v>1055</v>
      </c>
      <c r="I98">
        <f>F103*F74/F79</f>
        <v>305</v>
      </c>
      <c r="J98">
        <f t="shared" si="9"/>
        <v>305</v>
      </c>
    </row>
    <row r="99" spans="2:10" x14ac:dyDescent="0.2">
      <c r="B99" s="4" t="s">
        <v>2</v>
      </c>
      <c r="C99" s="5" t="s">
        <v>3</v>
      </c>
      <c r="D99" s="5">
        <f t="shared" si="7"/>
        <v>5</v>
      </c>
      <c r="E99" s="6">
        <f>F99/F103</f>
        <v>0.16783762685402029</v>
      </c>
      <c r="F99" s="5">
        <f>F75+G95</f>
        <v>1075</v>
      </c>
      <c r="G99" s="7">
        <f t="shared" si="8"/>
        <v>215</v>
      </c>
      <c r="I99">
        <f>F103*F75/F79</f>
        <v>1525</v>
      </c>
      <c r="J99">
        <f t="shared" si="9"/>
        <v>305</v>
      </c>
    </row>
    <row r="100" spans="2:10" x14ac:dyDescent="0.2">
      <c r="B100" s="4" t="s">
        <v>4</v>
      </c>
      <c r="C100" s="5" t="s">
        <v>5</v>
      </c>
      <c r="D100" s="5">
        <f t="shared" si="7"/>
        <v>2</v>
      </c>
      <c r="E100" s="6">
        <f>F100/F103</f>
        <v>0.16549570647931303</v>
      </c>
      <c r="F100" s="5">
        <f>F76+G95</f>
        <v>1060</v>
      </c>
      <c r="G100" s="7">
        <f t="shared" si="8"/>
        <v>530</v>
      </c>
      <c r="I100">
        <f>F103*F76/F79</f>
        <v>610</v>
      </c>
      <c r="J100">
        <f t="shared" si="9"/>
        <v>305</v>
      </c>
    </row>
    <row r="101" spans="2:10" x14ac:dyDescent="0.2">
      <c r="B101" s="4" t="s">
        <v>6</v>
      </c>
      <c r="C101" s="5" t="s">
        <v>7</v>
      </c>
      <c r="D101" s="5">
        <f t="shared" si="7"/>
        <v>4</v>
      </c>
      <c r="E101" s="6">
        <f>F101/F103</f>
        <v>0.16705698672911787</v>
      </c>
      <c r="F101" s="5">
        <f>F77+G95</f>
        <v>1070</v>
      </c>
      <c r="G101" s="7">
        <f t="shared" si="8"/>
        <v>267.5</v>
      </c>
      <c r="I101">
        <f>F103*F77/F79</f>
        <v>1220</v>
      </c>
      <c r="J101">
        <f t="shared" si="9"/>
        <v>305</v>
      </c>
    </row>
    <row r="102" spans="2:10" x14ac:dyDescent="0.2">
      <c r="B102" s="4" t="s">
        <v>44</v>
      </c>
      <c r="C102" s="5" t="s">
        <v>15</v>
      </c>
      <c r="D102" s="5">
        <f t="shared" si="7"/>
        <v>3</v>
      </c>
      <c r="E102" s="6">
        <f>F102/F103</f>
        <v>0.16627634660421545</v>
      </c>
      <c r="F102" s="5">
        <f>F78+G95</f>
        <v>1065</v>
      </c>
      <c r="G102" s="7">
        <f t="shared" si="8"/>
        <v>355</v>
      </c>
      <c r="I102">
        <f>F103*F78/F79</f>
        <v>915</v>
      </c>
      <c r="J102">
        <f t="shared" si="9"/>
        <v>305</v>
      </c>
    </row>
    <row r="103" spans="2:10" ht="15" thickBot="1" x14ac:dyDescent="0.25">
      <c r="B103" s="8"/>
      <c r="C103" s="9"/>
      <c r="D103" s="9">
        <f>SUM(D97:D102)</f>
        <v>21</v>
      </c>
      <c r="E103" s="10">
        <f>SUM(E97:E102)</f>
        <v>0.99999999999999989</v>
      </c>
      <c r="F103" s="11">
        <f>SUM(F97:F102)</f>
        <v>6405</v>
      </c>
      <c r="G103" s="12">
        <f>SUM(G98:G101)</f>
        <v>2067.5</v>
      </c>
      <c r="I103">
        <f>SUM(I97:I102)</f>
        <v>6405</v>
      </c>
      <c r="J103">
        <f>SUM(J97:J102)</f>
        <v>1830</v>
      </c>
    </row>
    <row r="104" spans="2:10" x14ac:dyDescent="0.2">
      <c r="E104" t="s">
        <v>21</v>
      </c>
      <c r="F104" t="s">
        <v>12</v>
      </c>
      <c r="G104" s="7">
        <f>F103/G103</f>
        <v>3.0979443772672308</v>
      </c>
      <c r="I104" t="s">
        <v>27</v>
      </c>
      <c r="J104">
        <f>I103/J103</f>
        <v>3.5</v>
      </c>
    </row>
    <row r="105" spans="2:10" x14ac:dyDescent="0.2">
      <c r="F105" t="s">
        <v>40</v>
      </c>
      <c r="I105" s="18" t="s">
        <v>39</v>
      </c>
    </row>
    <row r="106" spans="2:10" x14ac:dyDescent="0.2">
      <c r="B106" s="5" t="s">
        <v>18</v>
      </c>
    </row>
    <row r="107" spans="2:10" ht="15" thickBot="1" x14ac:dyDescent="0.25">
      <c r="B107" s="14" t="s">
        <v>10</v>
      </c>
      <c r="C107" s="14"/>
      <c r="D107" s="17">
        <v>10605</v>
      </c>
      <c r="E107" s="15" t="s">
        <v>19</v>
      </c>
      <c r="F107" s="15"/>
      <c r="G107">
        <f>(D107-F79)/6</f>
        <v>1750</v>
      </c>
      <c r="I107" t="s">
        <v>24</v>
      </c>
    </row>
    <row r="108" spans="2:10" x14ac:dyDescent="0.2">
      <c r="B108" s="1" t="s">
        <v>36</v>
      </c>
      <c r="C108" s="2" t="s">
        <v>34</v>
      </c>
      <c r="D108" s="2" t="s">
        <v>33</v>
      </c>
      <c r="E108" s="2" t="s">
        <v>32</v>
      </c>
      <c r="F108" s="2" t="s">
        <v>31</v>
      </c>
      <c r="G108" s="3" t="s">
        <v>30</v>
      </c>
      <c r="I108" t="s">
        <v>25</v>
      </c>
      <c r="J108" t="s">
        <v>26</v>
      </c>
    </row>
    <row r="109" spans="2:10" x14ac:dyDescent="0.2">
      <c r="B109" s="13" t="s">
        <v>43</v>
      </c>
      <c r="C109" t="s">
        <v>14</v>
      </c>
      <c r="D109" s="5">
        <f t="shared" ref="D109:D114" si="10">D97</f>
        <v>6</v>
      </c>
      <c r="E109" s="6">
        <f>F109/F115</f>
        <v>0.16784535596416786</v>
      </c>
      <c r="F109" s="5">
        <f>F73+G107</f>
        <v>1780</v>
      </c>
      <c r="G109" s="7">
        <f t="shared" ref="G109:G114" si="11">F109/D109</f>
        <v>296.66666666666669</v>
      </c>
      <c r="I109">
        <f>F115*F73/F79</f>
        <v>3030</v>
      </c>
      <c r="J109">
        <f t="shared" ref="J109:J114" si="12">I109/D109</f>
        <v>505</v>
      </c>
    </row>
    <row r="110" spans="2:10" x14ac:dyDescent="0.2">
      <c r="B110" s="4" t="s">
        <v>0</v>
      </c>
      <c r="C110" s="5" t="s">
        <v>1</v>
      </c>
      <c r="D110" s="5">
        <f t="shared" si="10"/>
        <v>1</v>
      </c>
      <c r="E110" s="6">
        <f>F110/F115</f>
        <v>0.16548797736916548</v>
      </c>
      <c r="F110" s="5">
        <f>F74+G107</f>
        <v>1755</v>
      </c>
      <c r="G110" s="7">
        <f t="shared" si="11"/>
        <v>1755</v>
      </c>
      <c r="I110">
        <f>F115*F74/F79</f>
        <v>505</v>
      </c>
      <c r="J110">
        <f t="shared" si="12"/>
        <v>505</v>
      </c>
    </row>
    <row r="111" spans="2:10" x14ac:dyDescent="0.2">
      <c r="B111" s="4" t="s">
        <v>2</v>
      </c>
      <c r="C111" s="5" t="s">
        <v>3</v>
      </c>
      <c r="D111" s="5">
        <f t="shared" si="10"/>
        <v>5</v>
      </c>
      <c r="E111" s="6">
        <f>F111/F115</f>
        <v>0.16737388024516736</v>
      </c>
      <c r="F111" s="5">
        <f>F75+G107</f>
        <v>1775</v>
      </c>
      <c r="G111" s="7">
        <f t="shared" si="11"/>
        <v>355</v>
      </c>
      <c r="I111">
        <f>F115*F75/F79</f>
        <v>2525</v>
      </c>
      <c r="J111">
        <f t="shared" si="12"/>
        <v>505</v>
      </c>
    </row>
    <row r="112" spans="2:10" x14ac:dyDescent="0.2">
      <c r="B112" s="4" t="s">
        <v>4</v>
      </c>
      <c r="C112" s="5" t="s">
        <v>5</v>
      </c>
      <c r="D112" s="5">
        <f t="shared" si="10"/>
        <v>2</v>
      </c>
      <c r="E112" s="6">
        <f>F112/F115</f>
        <v>0.16595945308816595</v>
      </c>
      <c r="F112" s="5">
        <f>F76+G107</f>
        <v>1760</v>
      </c>
      <c r="G112" s="7">
        <f t="shared" si="11"/>
        <v>880</v>
      </c>
      <c r="I112">
        <f>F115*F76/F79</f>
        <v>1010</v>
      </c>
      <c r="J112">
        <f t="shared" si="12"/>
        <v>505</v>
      </c>
    </row>
    <row r="113" spans="1:10" x14ac:dyDescent="0.2">
      <c r="B113" s="4" t="s">
        <v>6</v>
      </c>
      <c r="C113" s="5" t="s">
        <v>7</v>
      </c>
      <c r="D113" s="5">
        <f t="shared" si="10"/>
        <v>4</v>
      </c>
      <c r="E113" s="6">
        <f>F113/F115</f>
        <v>0.16690240452616689</v>
      </c>
      <c r="F113" s="5">
        <f>F77+G107</f>
        <v>1770</v>
      </c>
      <c r="G113" s="7">
        <f t="shared" si="11"/>
        <v>442.5</v>
      </c>
      <c r="I113">
        <f>F115*F77/F79</f>
        <v>2020</v>
      </c>
      <c r="J113">
        <f t="shared" si="12"/>
        <v>505</v>
      </c>
    </row>
    <row r="114" spans="1:10" x14ac:dyDescent="0.2">
      <c r="B114" s="4" t="s">
        <v>44</v>
      </c>
      <c r="C114" s="5" t="s">
        <v>15</v>
      </c>
      <c r="D114" s="5">
        <f t="shared" si="10"/>
        <v>3</v>
      </c>
      <c r="E114" s="6">
        <f>F114/F115</f>
        <v>0.16643092880716642</v>
      </c>
      <c r="F114" s="5">
        <f>F78+G107</f>
        <v>1765</v>
      </c>
      <c r="G114" s="7">
        <f t="shared" si="11"/>
        <v>588.33333333333337</v>
      </c>
      <c r="I114">
        <f>F115*F78/F79</f>
        <v>1515</v>
      </c>
      <c r="J114">
        <f t="shared" si="12"/>
        <v>505</v>
      </c>
    </row>
    <row r="115" spans="1:10" ht="15" thickBot="1" x14ac:dyDescent="0.25">
      <c r="B115" s="8"/>
      <c r="C115" s="9"/>
      <c r="D115" s="9">
        <f>SUM(D109:D114)</f>
        <v>21</v>
      </c>
      <c r="E115" s="10">
        <f>SUM(E109:E114)</f>
        <v>1</v>
      </c>
      <c r="F115" s="11">
        <f>SUM(F109:F114)</f>
        <v>10605</v>
      </c>
      <c r="G115" s="12">
        <f>SUM(G110:G113)</f>
        <v>3432.5</v>
      </c>
      <c r="I115">
        <f>SUM(I109:I114)</f>
        <v>10605</v>
      </c>
      <c r="J115">
        <f>SUM(J109:J114)</f>
        <v>3030</v>
      </c>
    </row>
    <row r="116" spans="1:10" x14ac:dyDescent="0.2">
      <c r="E116" t="s">
        <v>22</v>
      </c>
      <c r="F116" t="s">
        <v>12</v>
      </c>
      <c r="G116" s="7">
        <f>F115/G115</f>
        <v>3.0895848506919155</v>
      </c>
      <c r="I116" t="s">
        <v>27</v>
      </c>
      <c r="J116">
        <f>I115/J115</f>
        <v>3.5</v>
      </c>
    </row>
    <row r="117" spans="1:10" x14ac:dyDescent="0.2">
      <c r="F117" t="s">
        <v>40</v>
      </c>
      <c r="I117" s="18" t="s">
        <v>39</v>
      </c>
    </row>
    <row r="120" spans="1:10" ht="20.25" customHeight="1" x14ac:dyDescent="0.2">
      <c r="A120" s="27" t="s">
        <v>45</v>
      </c>
      <c r="B120" s="27"/>
      <c r="C120" s="27"/>
      <c r="D120" s="27"/>
      <c r="E120" s="27"/>
      <c r="F120" s="27"/>
      <c r="G120" s="27"/>
      <c r="H120" s="27"/>
      <c r="I120" s="27"/>
    </row>
    <row r="121" spans="1:10" x14ac:dyDescent="0.2">
      <c r="A121" s="27"/>
      <c r="B121" s="27"/>
      <c r="C121" s="27"/>
      <c r="D121" s="27"/>
      <c r="E121" s="27"/>
      <c r="F121" s="27"/>
      <c r="G121" s="27"/>
      <c r="H121" s="27"/>
      <c r="I121" s="27"/>
    </row>
    <row r="122" spans="1:10" x14ac:dyDescent="0.2">
      <c r="A122" s="27"/>
      <c r="B122" s="27"/>
      <c r="C122" s="27"/>
      <c r="D122" s="27"/>
      <c r="E122" s="27"/>
      <c r="F122" s="27"/>
      <c r="G122" s="27"/>
      <c r="H122" s="27"/>
      <c r="I122" s="27"/>
    </row>
  </sheetData>
  <mergeCells count="6">
    <mergeCell ref="M12:N12"/>
    <mergeCell ref="A120:I122"/>
    <mergeCell ref="I68:J68"/>
    <mergeCell ref="F68:G68"/>
    <mergeCell ref="F93:G93"/>
    <mergeCell ref="A57:R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2023-10-11T03:53:14Z</dcterms:created>
  <dcterms:modified xsi:type="dcterms:W3CDTF">2023-10-11T09:09:25Z</dcterms:modified>
</cp:coreProperties>
</file>